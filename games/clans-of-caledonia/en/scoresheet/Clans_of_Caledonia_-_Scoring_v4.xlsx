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2"/>
    <sheet name="CALCULATIONS" sheetId="2" state="visible" r:id="rId3"/>
  </sheets>
  <definedNames>
    <definedName function="false" hidden="false" localSheetId="0" name="_xlnm.Print_Area" vbProcedure="false">SCORE_SHEET!$A$1:$T$23</definedName>
    <definedName function="false" hidden="false" localSheetId="0" name="_xlnm.Print_Area" vbProcedure="false">SCORE_SHEET!$A$1:$T$23</definedName>
    <definedName function="false" hidden="false" localSheetId="0" name="_xlnm.Print_Area_0" vbProcedure="false">SCORE_SHEET!$A$1:$T$23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<sst xmlns="http://schemas.openxmlformats.org/spreadsheetml/2006/main" count="59" uniqueCount="32">
  <si>
    <t xml:space="preserve">2 PLAYER and SOLO GAME</t>
  </si>
  <si>
    <t xml:space="preserve">BLUE</t>
  </si>
  <si>
    <t xml:space="preserve">RED</t>
  </si>
  <si>
    <t xml:space="preserve">3 and 4 PLAYER GAME</t>
  </si>
  <si>
    <t xml:space="preserve">WHITE</t>
  </si>
  <si>
    <t xml:space="preserve">BLACK</t>
  </si>
  <si>
    <t xml:space="preserve">Glory</t>
  </si>
  <si>
    <t xml:space="preserve">Basic Goods</t>
  </si>
  <si>
    <t xml:space="preserve">Processed Goods</t>
  </si>
  <si>
    <t xml:space="preserve">Money</t>
  </si>
  <si>
    <t xml:space="preserve">Hops</t>
  </si>
  <si>
    <t xml:space="preserve">Cotton</t>
  </si>
  <si>
    <t xml:space="preserve">Tobaco</t>
  </si>
  <si>
    <t xml:space="preserve">Sugar Cane</t>
  </si>
  <si>
    <t xml:space="preserve">Export Contracts</t>
  </si>
  <si>
    <t xml:space="preserve">Settlements</t>
  </si>
  <si>
    <t xml:space="preserve">TOTAL</t>
  </si>
  <si>
    <r>
      <rPr>
        <b val="true"/>
        <i val="true"/>
        <sz val="12"/>
        <rFont val="Calibri"/>
        <family val="2"/>
        <charset val="1"/>
      </rPr>
      <t xml:space="preserve">* </t>
    </r>
    <r>
      <rPr>
        <b val="true"/>
        <i val="true"/>
        <u val="single"/>
        <sz val="12"/>
        <rFont val="Calibri"/>
        <family val="2"/>
        <charset val="1"/>
      </rPr>
      <t xml:space="preserve">EXPORT CONTRACTS and SETTLEMENTS</t>
    </r>
    <r>
      <rPr>
        <b val="true"/>
        <i val="true"/>
        <sz val="12"/>
        <rFont val="Calibri"/>
        <family val="2"/>
        <charset val="1"/>
      </rPr>
      <t xml:space="preserve">:</t>
    </r>
    <r>
      <rPr>
        <i val="true"/>
        <sz val="12"/>
        <rFont val="Calibri"/>
        <family val="2"/>
        <charset val="1"/>
      </rPr>
      <t xml:space="preserve"> 
Solo scoring is used if zero Settlements are entered in your opponent’s column – unless both columns are zero in which case 2-player scoring is shown.</t>
    </r>
  </si>
  <si>
    <t xml:space="preserve">RARE GOODS SCORING – 1/2 player</t>
  </si>
  <si>
    <t xml:space="preserve">TOTAL
IMPORTS</t>
  </si>
  <si>
    <t xml:space="preserve">RANK
MULTIPLIER</t>
  </si>
  <si>
    <t xml:space="preserve">Sugar</t>
  </si>
  <si>
    <t xml:space="preserve">RARE GOODS SCORING – 3/4 players</t>
  </si>
  <si>
    <t xml:space="preserve">EXPORT CONTRACT BONUS – 3/4 players</t>
  </si>
  <si>
    <t xml:space="preserve">Contracts</t>
  </si>
  <si>
    <t xml:space="preserve">Ranking</t>
  </si>
  <si>
    <t xml:space="preserve">Points</t>
  </si>
  <si>
    <t xml:space="preserve"># of 1st</t>
  </si>
  <si>
    <t xml:space="preserve"># of 2nd</t>
  </si>
  <si>
    <t xml:space="preserve"># of 3rd</t>
  </si>
  <si>
    <t xml:space="preserve"># of 4th</t>
  </si>
  <si>
    <t xml:space="preserve">SETTLEMENTS BONUS – 3/4 players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</si>
</sst>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2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Sherwood"/>
      <family val="0"/>
      <charset val="1"/>
    </font>
    <font>
      <b val="true"/>
      <sz val="16"/>
      <name val="Calibri"/>
      <family val="2"/>
      <charset val="1"/>
    </font>
    <font>
      <b val="true"/>
      <sz val="12"/>
      <name val="Calibri"/>
      <family val="2"/>
      <charset val="1"/>
    </font>
    <font>
      <sz val="16"/>
      <name val="Calibri"/>
      <family val="2"/>
      <charset val="1"/>
    </font>
    <font>
      <i val="true"/>
      <sz val="12"/>
      <color rgb="FF009900"/>
      <name val="Calibri"/>
      <family val="2"/>
      <charset val="1"/>
    </font>
    <font>
      <i val="true"/>
      <sz val="12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8"/>
      <color rgb="FF00CC00"/>
      <name val="Calibri"/>
      <family val="2"/>
      <charset val="1"/>
    </font>
    <font>
      <b val="true"/>
      <i val="true"/>
      <sz val="12"/>
      <name val="Calibri"/>
      <family val="2"/>
      <charset val="1"/>
    </font>
    <font>
      <b val="true"/>
      <i val="true"/>
      <u val="single"/>
      <sz val="12"/>
      <name val="Calibri"/>
      <family val="2"/>
      <charset val="1"/>
    </font>
    <font>
      <b val="true"/>
      <sz val="9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5D25A"/>
        <bgColor rgb="FFFFCC00"/>
      </patternFill>
    </fill>
    <fill>
      <patternFill patternType="solid">
        <fgColor rgb="FF00CCFF"/>
        <bgColor rgb="FF33CCCC"/>
      </patternFill>
    </fill>
    <fill>
      <patternFill patternType="solid">
        <fgColor rgb="FFFF9999"/>
        <bgColor rgb="FFFF8080"/>
      </patternFill>
    </fill>
    <fill>
      <patternFill patternType="solid">
        <fgColor rgb="FFEEEEEE"/>
        <bgColor rgb="FFFFFFFF"/>
      </patternFill>
    </fill>
    <fill>
      <patternFill patternType="solid">
        <fgColor rgb="FF999999"/>
        <bgColor rgb="FF808080"/>
      </patternFill>
    </fill>
    <fill>
      <patternFill patternType="solid">
        <fgColor rgb="FFFFFFFF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000000"/>
        <bgColor rgb="FF00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medium">
        <color rgb="FFFFFFFF"/>
      </top>
      <bottom style="medium">
        <color rgb="FFFFFFFF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2">
    <dxf>
      <font>
        <name val="Calibri"/>
        <charset val="1"/>
        <family val="2"/>
        <b val="1"/>
        <i val="1"/>
        <color rgb="FF0000FF"/>
      </font>
    </dxf>
    <dxf>
      <font>
        <name val="Calibri"/>
        <charset val="1"/>
        <family val="2"/>
        <b val="1"/>
        <i val="1"/>
        <color rgb="FFFF3333"/>
      </font>
    </dxf>
  </dxfs>
  <colors>
    <indexedColors>
      <rgbColor rgb="FF000000"/>
      <rgbColor rgb="FFFFFFFF"/>
      <rgbColor rgb="FFFF3333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5D25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5" outlineLevelRow="0" outlineLevelCol="0"/>
  <cols>
    <col collapsed="false" customWidth="true" hidden="false" outlineLevel="0" max="1" min="1" style="0" width="3.53"/>
    <col collapsed="false" customWidth="true" hidden="false" outlineLevel="0" max="2" min="2" style="0" width="5.93"/>
    <col collapsed="false" customWidth="true" hidden="false" outlineLevel="0" max="3" min="3" style="1" width="16.18"/>
    <col collapsed="false" customWidth="true" hidden="false" outlineLevel="0" max="4" min="4" style="2" width="8.27"/>
    <col collapsed="false" customWidth="true" hidden="false" outlineLevel="0" max="5" min="5" style="2" width="4.73"/>
    <col collapsed="false" customWidth="true" hidden="false" outlineLevel="0" max="6" min="6" style="2" width="8.27"/>
    <col collapsed="false" customWidth="true" hidden="false" outlineLevel="0" max="7" min="7" style="2" width="4.73"/>
    <col collapsed="false" customWidth="true" hidden="false" outlineLevel="0" max="8" min="8" style="3" width="11.55"/>
    <col collapsed="false" customWidth="true" hidden="false" outlineLevel="0" max="9" min="9" style="3" width="2.34"/>
    <col collapsed="false" customWidth="true" hidden="false" outlineLevel="0" max="10" min="10" style="4" width="5.93"/>
    <col collapsed="false" customWidth="true" hidden="false" outlineLevel="0" max="11" min="11" style="4" width="15.95"/>
    <col collapsed="false" customWidth="true" hidden="false" outlineLevel="0" max="12" min="12" style="2" width="8.27"/>
    <col collapsed="false" customWidth="true" hidden="false" outlineLevel="0" max="13" min="13" style="2" width="4.73"/>
    <col collapsed="false" customWidth="true" hidden="false" outlineLevel="0" max="14" min="14" style="2" width="8.27"/>
    <col collapsed="false" customWidth="true" hidden="false" outlineLevel="0" max="15" min="15" style="2" width="4.73"/>
    <col collapsed="false" customWidth="true" hidden="false" outlineLevel="0" max="16" min="16" style="2" width="8.27"/>
    <col collapsed="false" customWidth="true" hidden="false" outlineLevel="0" max="17" min="17" style="2" width="4.73"/>
    <col collapsed="false" customWidth="true" hidden="false" outlineLevel="0" max="18" min="18" style="2" width="8.27"/>
    <col collapsed="false" customWidth="true" hidden="false" outlineLevel="0" max="19" min="19" style="2" width="4.73"/>
    <col collapsed="false" customWidth="true" hidden="false" outlineLevel="0" max="20" min="20" style="2" width="11.55"/>
    <col collapsed="false" customWidth="true" hidden="false" outlineLevel="0" max="23" min="21" style="2" width="5.93"/>
    <col collapsed="false" customWidth="true" hidden="false" outlineLevel="0" max="1022" min="24" style="4" width="10.5"/>
    <col collapsed="false" customWidth="true" hidden="false" outlineLevel="0" max="1025" min="1023" style="0" width="10.5"/>
  </cols>
  <sheetData>
    <row r="1" s="10" customFormat="true" ht="19.7" hidden="false" customHeight="false" outlineLevel="0" collapsed="false">
      <c r="A1" s="0"/>
      <c r="B1" s="0"/>
      <c r="C1" s="5"/>
      <c r="D1" s="6"/>
      <c r="E1" s="7"/>
      <c r="F1" s="8"/>
      <c r="G1" s="0"/>
      <c r="H1" s="9"/>
      <c r="I1" s="9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AMI1" s="0"/>
      <c r="AMJ1" s="0"/>
    </row>
    <row r="2" s="20" customFormat="true" ht="19.7" hidden="false" customHeight="false" outlineLevel="0" collapsed="false">
      <c r="A2" s="0"/>
      <c r="B2" s="12" t="s">
        <v>0</v>
      </c>
      <c r="C2" s="13"/>
      <c r="D2" s="14" t="s">
        <v>1</v>
      </c>
      <c r="E2" s="7"/>
      <c r="F2" s="15" t="s">
        <v>2</v>
      </c>
      <c r="G2" s="16"/>
      <c r="H2" s="13"/>
      <c r="I2" s="13"/>
      <c r="J2" s="12" t="s">
        <v>3</v>
      </c>
      <c r="K2" s="17"/>
      <c r="L2" s="14" t="s">
        <v>1</v>
      </c>
      <c r="M2" s="7"/>
      <c r="N2" s="15" t="s">
        <v>2</v>
      </c>
      <c r="O2" s="16"/>
      <c r="P2" s="18" t="s">
        <v>4</v>
      </c>
      <c r="Q2" s="7"/>
      <c r="R2" s="19" t="s">
        <v>5</v>
      </c>
      <c r="S2" s="16"/>
      <c r="T2" s="7"/>
      <c r="U2" s="7"/>
      <c r="V2" s="7"/>
      <c r="W2" s="7"/>
      <c r="AMI2" s="16"/>
      <c r="AMJ2" s="0"/>
    </row>
    <row r="3" customFormat="false" ht="15" hidden="false" customHeight="false" outlineLevel="0" collapsed="false">
      <c r="B3" s="12"/>
      <c r="C3" s="1" t="s">
        <v>6</v>
      </c>
      <c r="D3" s="21"/>
      <c r="E3" s="2" t="n">
        <f aca="false">D3</f>
        <v>0</v>
      </c>
      <c r="F3" s="22"/>
      <c r="G3" s="2" t="n">
        <f aca="false">F3</f>
        <v>0</v>
      </c>
      <c r="J3" s="12"/>
      <c r="K3" s="1" t="s">
        <v>6</v>
      </c>
      <c r="L3" s="21"/>
      <c r="M3" s="2" t="n">
        <f aca="false">L3</f>
        <v>0</v>
      </c>
      <c r="N3" s="22"/>
      <c r="O3" s="2" t="n">
        <f aca="false">N3</f>
        <v>0</v>
      </c>
      <c r="P3" s="23"/>
      <c r="Q3" s="2" t="n">
        <f aca="false">P3</f>
        <v>0</v>
      </c>
      <c r="R3" s="24"/>
      <c r="S3" s="2" t="n">
        <f aca="false">R3</f>
        <v>0</v>
      </c>
    </row>
    <row r="4" customFormat="false" ht="15" hidden="false" customHeight="false" outlineLevel="0" collapsed="false">
      <c r="B4" s="12"/>
      <c r="C4" s="1" t="s">
        <v>7</v>
      </c>
      <c r="D4" s="21"/>
      <c r="E4" s="2" t="n">
        <f aca="false">D4</f>
        <v>0</v>
      </c>
      <c r="F4" s="22"/>
      <c r="G4" s="2" t="n">
        <f aca="false">F4</f>
        <v>0</v>
      </c>
      <c r="J4" s="12"/>
      <c r="K4" s="0" t="s">
        <v>7</v>
      </c>
      <c r="L4" s="21"/>
      <c r="M4" s="2" t="n">
        <f aca="false">L4</f>
        <v>0</v>
      </c>
      <c r="N4" s="22"/>
      <c r="O4" s="2" t="n">
        <f aca="false">N4</f>
        <v>0</v>
      </c>
      <c r="P4" s="23"/>
      <c r="Q4" s="2" t="n">
        <f aca="false">P4</f>
        <v>0</v>
      </c>
      <c r="R4" s="24"/>
      <c r="S4" s="2" t="n">
        <f aca="false">R4</f>
        <v>0</v>
      </c>
    </row>
    <row r="5" customFormat="false" ht="15" hidden="false" customHeight="false" outlineLevel="0" collapsed="false">
      <c r="B5" s="12"/>
      <c r="C5" s="1" t="s">
        <v>8</v>
      </c>
      <c r="D5" s="21"/>
      <c r="E5" s="2" t="n">
        <f aca="false">D5*2</f>
        <v>0</v>
      </c>
      <c r="F5" s="22"/>
      <c r="G5" s="2" t="n">
        <f aca="false">F5*2</f>
        <v>0</v>
      </c>
      <c r="J5" s="12"/>
      <c r="K5" s="1" t="s">
        <v>8</v>
      </c>
      <c r="L5" s="21"/>
      <c r="M5" s="2" t="n">
        <f aca="false">L5*2</f>
        <v>0</v>
      </c>
      <c r="N5" s="22"/>
      <c r="O5" s="2" t="n">
        <f aca="false">N5*2</f>
        <v>0</v>
      </c>
      <c r="P5" s="23"/>
      <c r="Q5" s="2" t="n">
        <f aca="false">P5*2</f>
        <v>0</v>
      </c>
      <c r="R5" s="24"/>
      <c r="S5" s="2" t="n">
        <f aca="false">R5*2</f>
        <v>0</v>
      </c>
    </row>
    <row r="6" customFormat="false" ht="15" hidden="false" customHeight="false" outlineLevel="0" collapsed="false">
      <c r="B6" s="12"/>
      <c r="C6" s="1" t="s">
        <v>9</v>
      </c>
      <c r="D6" s="21"/>
      <c r="E6" s="2" t="n">
        <f aca="false">INT(D6/10)</f>
        <v>0</v>
      </c>
      <c r="F6" s="22"/>
      <c r="G6" s="2" t="n">
        <f aca="false">INT(F6/10)</f>
        <v>0</v>
      </c>
      <c r="J6" s="12"/>
      <c r="K6" s="1" t="s">
        <v>9</v>
      </c>
      <c r="L6" s="21"/>
      <c r="M6" s="2" t="n">
        <f aca="false">INT(L6/10)</f>
        <v>0</v>
      </c>
      <c r="N6" s="22"/>
      <c r="O6" s="2" t="n">
        <f aca="false">INT(N6/10)</f>
        <v>0</v>
      </c>
      <c r="P6" s="25"/>
      <c r="Q6" s="2" t="n">
        <f aca="false">INT(P6/10)</f>
        <v>0</v>
      </c>
      <c r="R6" s="24"/>
      <c r="S6" s="2" t="n">
        <f aca="false">INT(R6/10)</f>
        <v>0</v>
      </c>
    </row>
    <row r="7" customFormat="false" ht="15" hidden="false" customHeight="false" outlineLevel="0" collapsed="false">
      <c r="B7" s="12"/>
      <c r="C7" s="0"/>
      <c r="D7" s="26"/>
      <c r="E7" s="11" t="n">
        <f aca="false">SUM(E3:E6)</f>
        <v>0</v>
      </c>
      <c r="G7" s="11" t="n">
        <f aca="false">SUM(G3:G6)</f>
        <v>0</v>
      </c>
      <c r="J7" s="12"/>
      <c r="K7" s="0"/>
      <c r="L7" s="0"/>
      <c r="M7" s="11" t="n">
        <f aca="false">SUM(M3:M6)</f>
        <v>0</v>
      </c>
      <c r="N7" s="0"/>
      <c r="O7" s="11" t="n">
        <f aca="false">SUM(O3:O6)</f>
        <v>0</v>
      </c>
      <c r="P7" s="0"/>
      <c r="Q7" s="11" t="n">
        <f aca="false">SUM(Q3:Q6)</f>
        <v>0</v>
      </c>
      <c r="R7" s="0"/>
      <c r="S7" s="11" t="n">
        <f aca="false">SUM(S3:S6)</f>
        <v>0</v>
      </c>
    </row>
    <row r="8" customFormat="false" ht="15" hidden="false" customHeight="false" outlineLevel="0" collapsed="false">
      <c r="B8" s="12"/>
      <c r="E8" s="0"/>
      <c r="F8" s="0"/>
      <c r="G8" s="0"/>
      <c r="J8" s="12"/>
      <c r="K8" s="1"/>
      <c r="M8" s="11"/>
      <c r="O8" s="11"/>
      <c r="Q8" s="11"/>
      <c r="S8" s="11"/>
    </row>
    <row r="9" customFormat="false" ht="15" hidden="false" customHeight="false" outlineLevel="0" collapsed="false">
      <c r="B9" s="12"/>
      <c r="C9" s="1" t="s">
        <v>10</v>
      </c>
      <c r="D9" s="21"/>
      <c r="E9" s="27" t="n">
        <f aca="false">D9</f>
        <v>0</v>
      </c>
      <c r="F9" s="22"/>
      <c r="G9" s="27" t="n">
        <f aca="false">F9</f>
        <v>0</v>
      </c>
      <c r="J9" s="12"/>
      <c r="K9" s="1" t="s">
        <v>10</v>
      </c>
      <c r="L9" s="21"/>
      <c r="M9" s="27" t="n">
        <f aca="false">L9</f>
        <v>0</v>
      </c>
      <c r="N9" s="22"/>
      <c r="O9" s="27" t="n">
        <f aca="false">N9</f>
        <v>0</v>
      </c>
      <c r="P9" s="28"/>
      <c r="Q9" s="27" t="n">
        <f aca="false">P9</f>
        <v>0</v>
      </c>
      <c r="R9" s="24"/>
      <c r="S9" s="27" t="n">
        <f aca="false">R9</f>
        <v>0</v>
      </c>
    </row>
    <row r="10" customFormat="false" ht="15" hidden="false" customHeight="false" outlineLevel="0" collapsed="false">
      <c r="B10" s="12"/>
      <c r="C10" s="29" t="s">
        <v>11</v>
      </c>
      <c r="D10" s="21"/>
      <c r="E10" s="30" t="n">
        <f aca="false">D10*CALCULATIONS!E3</f>
        <v>0</v>
      </c>
      <c r="F10" s="22"/>
      <c r="G10" s="30" t="n">
        <f aca="false">F10*CALCULATIONS!E3</f>
        <v>0</v>
      </c>
      <c r="H10" s="31" t="str">
        <f aca="false">IF(CALCULATIONS!E3=3," common",IF(CALCULATIONS!E3=4," uncommon",IF(CALCULATIONS!E3=5," rare","")))</f>
        <v> rare</v>
      </c>
      <c r="I10" s="32"/>
      <c r="J10" s="12"/>
      <c r="K10" s="29" t="s">
        <v>11</v>
      </c>
      <c r="L10" s="21"/>
      <c r="M10" s="30" t="n">
        <f aca="false">L10*CALCULATIONS!E9</f>
        <v>0</v>
      </c>
      <c r="N10" s="22"/>
      <c r="O10" s="30" t="n">
        <f aca="false">N10*CALCULATIONS!E9</f>
        <v>0</v>
      </c>
      <c r="P10" s="23"/>
      <c r="Q10" s="30" t="n">
        <f aca="false">P10*CALCULATIONS!E9</f>
        <v>0</v>
      </c>
      <c r="R10" s="24"/>
      <c r="S10" s="30" t="n">
        <f aca="false">R10*CALCULATIONS!E9</f>
        <v>0</v>
      </c>
      <c r="T10" s="31" t="str">
        <f aca="false">IF(CALCULATIONS!E9=3," common",IF(CALCULATIONS!E9=4," uncommon",IF(CALCULATIONS!E9=5," rare","")))</f>
        <v> rare</v>
      </c>
    </row>
    <row r="11" customFormat="false" ht="15" hidden="false" customHeight="false" outlineLevel="0" collapsed="false">
      <c r="B11" s="12"/>
      <c r="C11" s="29" t="s">
        <v>12</v>
      </c>
      <c r="D11" s="21"/>
      <c r="E11" s="30" t="n">
        <f aca="false">D11*CALCULATIONS!E4</f>
        <v>0</v>
      </c>
      <c r="F11" s="22"/>
      <c r="G11" s="30" t="n">
        <f aca="false">F11*CALCULATIONS!E4</f>
        <v>0</v>
      </c>
      <c r="H11" s="31" t="str">
        <f aca="false">IF(CALCULATIONS!E4=3," common",IF(CALCULATIONS!E4=4," uncommon",IF(CALCULATIONS!E4=5," rare","")))</f>
        <v> uncommon</v>
      </c>
      <c r="I11" s="32"/>
      <c r="J11" s="12"/>
      <c r="K11" s="29" t="s">
        <v>12</v>
      </c>
      <c r="L11" s="21"/>
      <c r="M11" s="30" t="n">
        <f aca="false">L11*CALCULATIONS!E10</f>
        <v>0</v>
      </c>
      <c r="N11" s="22"/>
      <c r="O11" s="30" t="n">
        <f aca="false">N11*CALCULATIONS!E10</f>
        <v>0</v>
      </c>
      <c r="P11" s="23"/>
      <c r="Q11" s="30" t="n">
        <f aca="false">P11*CALCULATIONS!E10</f>
        <v>0</v>
      </c>
      <c r="R11" s="24"/>
      <c r="S11" s="30" t="n">
        <f aca="false">R11*CALCULATIONS!E10</f>
        <v>0</v>
      </c>
      <c r="T11" s="31" t="str">
        <f aca="false">IF(CALCULATIONS!E10=3," common",IF(CALCULATIONS!E10=4," uncommon",IF(CALCULATIONS!E10=5," rare","")))</f>
        <v> uncommon</v>
      </c>
    </row>
    <row r="12" customFormat="false" ht="15" hidden="false" customHeight="false" outlineLevel="0" collapsed="false">
      <c r="B12" s="12"/>
      <c r="C12" s="29" t="s">
        <v>13</v>
      </c>
      <c r="D12" s="21"/>
      <c r="E12" s="30" t="n">
        <f aca="false">D12*CALCULATIONS!E5</f>
        <v>0</v>
      </c>
      <c r="F12" s="22"/>
      <c r="G12" s="30" t="n">
        <f aca="false">F12*CALCULATIONS!E5</f>
        <v>0</v>
      </c>
      <c r="H12" s="31" t="str">
        <f aca="false">IF(CALCULATIONS!E5=3," common",IF(CALCULATIONS!E5=4," uncommon",IF(CALCULATIONS!E5=5," rare","")))</f>
        <v> common</v>
      </c>
      <c r="I12" s="32"/>
      <c r="J12" s="12"/>
      <c r="K12" s="29" t="s">
        <v>13</v>
      </c>
      <c r="L12" s="21"/>
      <c r="M12" s="30" t="n">
        <f aca="false">L12*CALCULATIONS!E11</f>
        <v>0</v>
      </c>
      <c r="N12" s="22"/>
      <c r="O12" s="30" t="n">
        <f aca="false">N12*CALCULATIONS!E11</f>
        <v>0</v>
      </c>
      <c r="P12" s="25"/>
      <c r="Q12" s="30" t="n">
        <f aca="false">P12*CALCULATIONS!E11</f>
        <v>0</v>
      </c>
      <c r="R12" s="24"/>
      <c r="S12" s="30" t="n">
        <f aca="false">R12*CALCULATIONS!E11</f>
        <v>0</v>
      </c>
      <c r="T12" s="31" t="str">
        <f aca="false">IF(CALCULATIONS!E11=3," common",IF(CALCULATIONS!E11=4," uncommon",IF(CALCULATIONS!E11=5," rare","")))</f>
        <v> common</v>
      </c>
    </row>
    <row r="13" customFormat="false" ht="15" hidden="false" customHeight="false" outlineLevel="0" collapsed="false">
      <c r="B13" s="12"/>
      <c r="E13" s="11" t="n">
        <f aca="false">SUM(E9:E12)</f>
        <v>0</v>
      </c>
      <c r="G13" s="11" t="n">
        <f aca="false">SUM(G9:G12)</f>
        <v>0</v>
      </c>
      <c r="J13" s="12"/>
      <c r="K13" s="1"/>
      <c r="M13" s="11" t="n">
        <f aca="false">SUM(M9:M12)</f>
        <v>0</v>
      </c>
      <c r="O13" s="11" t="n">
        <f aca="false">SUM(O9:O12)</f>
        <v>0</v>
      </c>
      <c r="Q13" s="11" t="n">
        <f aca="false">SUM(Q9:Q12)</f>
        <v>0</v>
      </c>
      <c r="S13" s="11" t="n">
        <f aca="false">SUM(S9:S12)</f>
        <v>0</v>
      </c>
    </row>
    <row r="14" customFormat="false" ht="15" hidden="false" customHeight="false" outlineLevel="0" collapsed="false">
      <c r="B14" s="12"/>
      <c r="J14" s="12"/>
      <c r="K14" s="1"/>
    </row>
    <row r="15" customFormat="false" ht="15" hidden="false" customHeight="false" outlineLevel="0" collapsed="false">
      <c r="B15" s="12"/>
      <c r="C15" s="1" t="s">
        <v>14</v>
      </c>
      <c r="D15" s="21"/>
      <c r="E15" s="2" t="n">
        <f aca="false">IF(AND(D16&lt;&gt;0,F16=0),IF(D15&gt;6,12,IF(D15=6,8,IF(D15=5,4,0))),IF(AND(D15=F15),4,IF(D15&gt;F15,8,0)))</f>
        <v>4</v>
      </c>
      <c r="F15" s="22"/>
      <c r="G15" s="2" t="n">
        <f aca="false">IF(AND(F16&lt;&gt;0,D16=0),IF(F15&gt;6,12,IF(F15=6,8,IF(F15=5,4,0))),IF(D15=F15,4,IF(D15&lt;F15,8,)))</f>
        <v>4</v>
      </c>
      <c r="H15" s="33" t="str">
        <f aca="false">IF(AND(D16=0,F16=0),"2-PLAYER SCORING",IF(F16=0,"BLUE SOLO SCORING",IF(AND(D16=0),"RED SOLO SCORING","2-PLAYER SCORING")))</f>
        <v>2-PLAYER SCORING</v>
      </c>
      <c r="I15" s="34"/>
      <c r="J15" s="12"/>
      <c r="K15" s="1" t="s">
        <v>14</v>
      </c>
      <c r="L15" s="21"/>
      <c r="M15" s="2" t="n">
        <f aca="false">CALCULATIONS!B16</f>
        <v>4</v>
      </c>
      <c r="N15" s="22"/>
      <c r="O15" s="2" t="n">
        <f aca="false">CALCULATIONS!C16</f>
        <v>4</v>
      </c>
      <c r="P15" s="28"/>
      <c r="Q15" s="2" t="n">
        <f aca="false">CALCULATIONS!D16</f>
        <v>4</v>
      </c>
      <c r="R15" s="24"/>
      <c r="S15" s="2" t="n">
        <f aca="false">CALCULATIONS!E16</f>
        <v>4</v>
      </c>
    </row>
    <row r="16" customFormat="false" ht="15" hidden="false" customHeight="false" outlineLevel="0" collapsed="false">
      <c r="B16" s="12"/>
      <c r="C16" s="1" t="s">
        <v>15</v>
      </c>
      <c r="D16" s="21"/>
      <c r="E16" s="2" t="n">
        <f aca="false">IF(F16=0,IF(D16&gt;13,18,IF(D16&gt;10,12,IF(D16&gt;7,6,0))),IF(D16=F16,6,IF(D16&gt;F16,12,0)))</f>
        <v>0</v>
      </c>
      <c r="F16" s="22"/>
      <c r="G16" s="2" t="n">
        <f aca="false">IF(D16=0,IF(F16&gt;13,18,IF(F16&gt;10,12,IF(F16&gt;7,6,0))),IF(D16=F16,6,IF(D16&lt;F16,12,0)))</f>
        <v>0</v>
      </c>
      <c r="H16" s="33" t="str">
        <f aca="false">IF(D16=F160,"","SCORING")</f>
        <v/>
      </c>
      <c r="I16" s="35"/>
      <c r="J16" s="12"/>
      <c r="K16" s="1" t="s">
        <v>15</v>
      </c>
      <c r="L16" s="21"/>
      <c r="M16" s="2" t="n">
        <f aca="false">CALCULATIONS!B25</f>
        <v>9</v>
      </c>
      <c r="N16" s="22"/>
      <c r="O16" s="2" t="n">
        <f aca="false">CALCULATIONS!C25</f>
        <v>9</v>
      </c>
      <c r="P16" s="25"/>
      <c r="Q16" s="2" t="n">
        <f aca="false">CALCULATIONS!D25</f>
        <v>9</v>
      </c>
      <c r="R16" s="24"/>
      <c r="S16" s="2" t="n">
        <f aca="false">CALCULATIONS!E25</f>
        <v>9</v>
      </c>
    </row>
    <row r="17" customFormat="false" ht="15" hidden="false" customHeight="false" outlineLevel="0" collapsed="false">
      <c r="B17" s="12"/>
      <c r="J17" s="12"/>
      <c r="K17" s="1"/>
    </row>
    <row r="18" s="20" customFormat="true" ht="19.7" hidden="false" customHeight="false" outlineLevel="0" collapsed="false">
      <c r="A18" s="0"/>
      <c r="B18" s="12"/>
      <c r="C18" s="36" t="s">
        <v>16</v>
      </c>
      <c r="D18" s="14" t="n">
        <f aca="false">E7+E13+E15+E16</f>
        <v>4</v>
      </c>
      <c r="E18" s="7"/>
      <c r="F18" s="15" t="n">
        <f aca="false">G7+G13+G15+G16</f>
        <v>4</v>
      </c>
      <c r="G18" s="7"/>
      <c r="H18" s="13"/>
      <c r="I18" s="13"/>
      <c r="J18" s="12"/>
      <c r="K18" s="36" t="s">
        <v>16</v>
      </c>
      <c r="L18" s="14" t="n">
        <f aca="false">M7+M13+M15+M16</f>
        <v>13</v>
      </c>
      <c r="M18" s="7"/>
      <c r="N18" s="15" t="n">
        <f aca="false">O7+O13+O15+O16</f>
        <v>13</v>
      </c>
      <c r="O18" s="7"/>
      <c r="P18" s="37" t="n">
        <f aca="false">Q7+Q13+Q15+Q16</f>
        <v>13</v>
      </c>
      <c r="Q18" s="7"/>
      <c r="R18" s="19" t="n">
        <f aca="false">S7+S13+S15+S16</f>
        <v>13</v>
      </c>
      <c r="S18" s="7"/>
      <c r="T18" s="7"/>
      <c r="U18" s="7"/>
      <c r="V18" s="7"/>
      <c r="W18" s="7"/>
      <c r="AMI18" s="16"/>
      <c r="AMJ18" s="0"/>
    </row>
    <row r="20" customFormat="false" ht="22.05" hidden="false" customHeight="false" outlineLevel="0" collapsed="false">
      <c r="D20" s="38" t="str">
        <f aca="false">IF(D18=0,"",IF(D18&lt;116,"Newbie 0-115",IF(D18&lt;131,"Rookie 116-130",IF(D18&lt;146,"Average 131-145",IF(D18&lt;161,"Expert 146-160","Genius!!! 160+")))))</f>
        <v>Newbie 0-115</v>
      </c>
      <c r="F20" s="39" t="str">
        <f aca="false">IF(F18=0,"",IF(F18&lt;116,"0-115 Newbie",IF(F18&lt;131,"116-130 Rookie",IF(F18&lt;146,"131-145 Average",IF(F18&lt;161,"146-160 Expert","160+ Genius!!!")))))</f>
        <v>0-115 Newbie</v>
      </c>
    </row>
    <row r="21" customFormat="false" ht="15" hidden="false" customHeight="false" outlineLevel="0" collapsed="false">
      <c r="H21" s="40"/>
    </row>
    <row r="22" customFormat="false" ht="73.2" hidden="false" customHeight="true" outlineLevel="0" collapsed="false">
      <c r="C22" s="41" t="s">
        <v>17</v>
      </c>
      <c r="D22" s="41"/>
      <c r="E22" s="41"/>
      <c r="F22" s="41"/>
      <c r="G22" s="41"/>
      <c r="H22" s="41"/>
    </row>
  </sheetData>
  <sheetProtection sheet="true" objects="true" scenarios="true" selectLockedCells="true"/>
  <mergeCells count="4">
    <mergeCell ref="B2:B18"/>
    <mergeCell ref="J2:J18"/>
    <mergeCell ref="H15:H16"/>
    <mergeCell ref="C22:H22"/>
  </mergeCells>
  <conditionalFormatting sqref="H15:I15">
    <cfRule type="containsText" priority="2" aboveAverage="0" equalAverage="0" bottom="0" percent="0" rank="0" text="BLUE" dxfId="0"/>
    <cfRule type="containsText" priority="3" aboveAverage="0" equalAverage="0" bottom="0" percent="0" rank="0" text="RED" dxfId="1"/>
  </conditionalFormatting>
  <printOptions headings="false" gridLines="false" gridLinesSet="true" horizontalCentered="true" verticalCentered="false"/>
  <pageMargins left="0.5" right="0.5" top="1.23888888888889" bottom="1.2375" header="1" footer="1"/>
  <pageSetup paperSize="1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1" width="13.03"/>
    <col collapsed="false" customWidth="true" hidden="false" outlineLevel="0" max="4" min="2" style="2" width="8.27"/>
    <col collapsed="false" customWidth="true" hidden="false" outlineLevel="0" max="5" min="5" style="0" width="8.27"/>
    <col collapsed="false" customWidth="true" hidden="false" outlineLevel="0" max="17" min="6" style="0" width="5.93"/>
    <col collapsed="false" customWidth="true" hidden="false" outlineLevel="0" max="1025" min="18" style="0" width="10.5"/>
  </cols>
  <sheetData>
    <row r="1" customFormat="false" ht="15" hidden="false" customHeight="false" outlineLevel="0" collapsed="false">
      <c r="A1" s="42" t="s">
        <v>18</v>
      </c>
      <c r="B1" s="43"/>
      <c r="C1" s="43"/>
      <c r="D1" s="43"/>
      <c r="E1" s="43"/>
    </row>
    <row r="2" customFormat="false" ht="22.8" hidden="false" customHeight="false" outlineLevel="0" collapsed="false">
      <c r="B2" s="44" t="s">
        <v>19</v>
      </c>
      <c r="E2" s="45" t="s">
        <v>20</v>
      </c>
    </row>
    <row r="3" customFormat="false" ht="15" hidden="false" customHeight="false" outlineLevel="0" collapsed="false">
      <c r="A3" s="1" t="s">
        <v>11</v>
      </c>
      <c r="B3" s="46" t="n">
        <f aca="false">SCORE_SHEET!D10+SCORE_SHEET!F10</f>
        <v>0</v>
      </c>
      <c r="C3" s="2" t="n">
        <f aca="false">IF(B3&gt;B4,-1,0)</f>
        <v>0</v>
      </c>
      <c r="D3" s="2" t="n">
        <f aca="false">IF(B3&gt;B5,-1,0)</f>
        <v>0</v>
      </c>
      <c r="E3" s="46" t="n">
        <f aca="false">5+C3+D3</f>
        <v>5</v>
      </c>
    </row>
    <row r="4" customFormat="false" ht="15" hidden="false" customHeight="false" outlineLevel="0" collapsed="false">
      <c r="A4" s="1" t="s">
        <v>12</v>
      </c>
      <c r="B4" s="46" t="n">
        <f aca="false">SCORE_SHEET!D11+SCORE_SHEET!F11</f>
        <v>0</v>
      </c>
      <c r="C4" s="2" t="n">
        <f aca="false">IF(B4&gt;B5,-1,0)</f>
        <v>0</v>
      </c>
      <c r="D4" s="2" t="n">
        <f aca="false">IF(B4&lt;B3,1,0)</f>
        <v>0</v>
      </c>
      <c r="E4" s="46" t="n">
        <f aca="false">4+C4+D4</f>
        <v>4</v>
      </c>
    </row>
    <row r="5" customFormat="false" ht="15" hidden="false" customHeight="false" outlineLevel="0" collapsed="false">
      <c r="A5" s="1" t="s">
        <v>21</v>
      </c>
      <c r="B5" s="46" t="n">
        <f aca="false">SCORE_SHEET!D12+SCORE_SHEET!F12</f>
        <v>0</v>
      </c>
      <c r="C5" s="2" t="n">
        <f aca="false">IF(B5&lt;B3,1,0)</f>
        <v>0</v>
      </c>
      <c r="D5" s="2" t="n">
        <f aca="false">IF(B5&lt;B4,1,0)</f>
        <v>0</v>
      </c>
      <c r="E5" s="46" t="n">
        <f aca="false">3+C5+D5</f>
        <v>3</v>
      </c>
    </row>
    <row r="6" customFormat="false" ht="15" hidden="false" customHeight="false" outlineLevel="0" collapsed="false">
      <c r="A6" s="9"/>
      <c r="E6" s="2"/>
    </row>
    <row r="7" customFormat="false" ht="15" hidden="false" customHeight="false" outlineLevel="0" collapsed="false">
      <c r="A7" s="42" t="s">
        <v>22</v>
      </c>
      <c r="B7" s="43"/>
      <c r="C7" s="43"/>
      <c r="D7" s="43"/>
      <c r="E7" s="43"/>
    </row>
    <row r="8" customFormat="false" ht="22.8" hidden="false" customHeight="false" outlineLevel="0" collapsed="false">
      <c r="B8" s="44" t="s">
        <v>19</v>
      </c>
      <c r="E8" s="45" t="s">
        <v>20</v>
      </c>
    </row>
    <row r="9" customFormat="false" ht="15" hidden="false" customHeight="false" outlineLevel="0" collapsed="false">
      <c r="A9" s="1" t="s">
        <v>11</v>
      </c>
      <c r="B9" s="46" t="n">
        <f aca="false">SCORE_SHEET!L10+SCORE_SHEET!N10+SCORE_SHEET!P10+SCORE_SHEET!R10</f>
        <v>0</v>
      </c>
      <c r="C9" s="2" t="n">
        <f aca="false">IF(B9&gt;B10,-1,0)</f>
        <v>0</v>
      </c>
      <c r="D9" s="2" t="n">
        <f aca="false">IF(B9&gt;B11,-1,0)</f>
        <v>0</v>
      </c>
      <c r="E9" s="46" t="n">
        <f aca="false">5+C9+D9</f>
        <v>5</v>
      </c>
    </row>
    <row r="10" customFormat="false" ht="15" hidden="false" customHeight="false" outlineLevel="0" collapsed="false">
      <c r="A10" s="1" t="s">
        <v>12</v>
      </c>
      <c r="B10" s="46" t="n">
        <f aca="false">SCORE_SHEET!L11+SCORE_SHEET!N11+SCORE_SHEET!P11+SCORE_SHEET!R11</f>
        <v>0</v>
      </c>
      <c r="C10" s="2" t="n">
        <f aca="false">IF(B10&gt;B11,-1,0)</f>
        <v>0</v>
      </c>
      <c r="D10" s="2" t="n">
        <f aca="false">IF(B10&lt;B9,1,0)</f>
        <v>0</v>
      </c>
      <c r="E10" s="46" t="n">
        <f aca="false">4+C10+D10</f>
        <v>4</v>
      </c>
    </row>
    <row r="11" customFormat="false" ht="15" hidden="false" customHeight="false" outlineLevel="0" collapsed="false">
      <c r="A11" s="1" t="s">
        <v>21</v>
      </c>
      <c r="B11" s="46" t="n">
        <f aca="false">SCORE_SHEET!L12+SCORE_SHEET!N12+SCORE_SHEET!P12+SCORE_SHEET!R12</f>
        <v>0</v>
      </c>
      <c r="C11" s="2" t="n">
        <f aca="false">IF(B11&lt;B9,1,0)</f>
        <v>0</v>
      </c>
      <c r="D11" s="2" t="n">
        <f aca="false">IF(B11&lt;B10,1,0)</f>
        <v>0</v>
      </c>
      <c r="E11" s="46" t="n">
        <f aca="false">3+C11+D11</f>
        <v>3</v>
      </c>
    </row>
    <row r="12" customFormat="false" ht="15" hidden="false" customHeight="false" outlineLevel="0" collapsed="false">
      <c r="E12" s="2"/>
    </row>
    <row r="13" customFormat="false" ht="15" hidden="false" customHeight="false" outlineLevel="0" collapsed="false">
      <c r="A13" s="42" t="s">
        <v>23</v>
      </c>
      <c r="B13" s="43"/>
      <c r="C13" s="43"/>
      <c r="D13" s="43"/>
      <c r="E13" s="43"/>
    </row>
    <row r="14" customFormat="false" ht="15" hidden="false" customHeight="false" outlineLevel="0" collapsed="false">
      <c r="A14" s="1" t="s">
        <v>24</v>
      </c>
      <c r="B14" s="47" t="n">
        <f aca="false">SCORE_SHEET!L15</f>
        <v>0</v>
      </c>
      <c r="C14" s="48" t="n">
        <f aca="false">SCORE_SHEET!N15</f>
        <v>0</v>
      </c>
      <c r="D14" s="49" t="n">
        <f aca="false">SCORE_SHEET!P15</f>
        <v>0</v>
      </c>
      <c r="E14" s="50" t="n">
        <f aca="false">SCORE_SHEET!R15</f>
        <v>0</v>
      </c>
    </row>
    <row r="15" customFormat="false" ht="15" hidden="false" customHeight="false" outlineLevel="0" collapsed="false">
      <c r="A15" s="1" t="s">
        <v>25</v>
      </c>
      <c r="B15" s="47" t="n">
        <f aca="false">RANK(B14,B14:E14)</f>
        <v>1</v>
      </c>
      <c r="C15" s="48" t="n">
        <f aca="false">RANK(C14,B14:E14)</f>
        <v>1</v>
      </c>
      <c r="D15" s="49" t="n">
        <f aca="false">RANK(D14,B14:E14)</f>
        <v>1</v>
      </c>
      <c r="E15" s="50" t="n">
        <f aca="false">RANK(E14,B14:E14)</f>
        <v>1</v>
      </c>
    </row>
    <row r="16" customFormat="false" ht="15" hidden="false" customHeight="false" outlineLevel="0" collapsed="false">
      <c r="A16" s="1" t="s">
        <v>26</v>
      </c>
      <c r="B16" s="47" t="n">
        <f aca="false">INT(IF(B17&gt;1,IF(B15=1,18/B17,0),IF(B18&gt;1,IF(B15=1,12,IF(B15=2,6/B18,0)),IF(B15=1,12,IF(B15=2,6,0)))))</f>
        <v>4</v>
      </c>
      <c r="C16" s="48" t="n">
        <f aca="false">INT(IF(B17&gt;1,IF(C15=1,18/B17,0),IF(B18&gt;1,IF(C15=1,12,IF(C15=2,6/B18,0)),IF(C15=1,12,IF(C15=2,6,0)))))</f>
        <v>4</v>
      </c>
      <c r="D16" s="49" t="n">
        <f aca="false">INT(IF(B17&gt;1,IF(D15=1,18/B17,0),IF(B18&gt;1,IF(D15=1,12,IF(D15=2,6/B18,0)),IF(D15=1,12,IF(D15=2,6,0)))))</f>
        <v>4</v>
      </c>
      <c r="E16" s="50" t="n">
        <f aca="false">INT(IF(B17&gt;1,IF(E15=1,18/B17,0),IF(B18&gt;1,IF(E15=1,12,IF(E15=2,6/B18,0)),IF(E15=1,12,IF(E15=2,6,0)))))</f>
        <v>4</v>
      </c>
    </row>
    <row r="17" customFormat="false" ht="15" hidden="false" customHeight="false" outlineLevel="0" collapsed="false">
      <c r="A17" s="1" t="s">
        <v>27</v>
      </c>
      <c r="B17" s="2" t="n">
        <f aca="false">COUNTIF(B15:E15,1)</f>
        <v>4</v>
      </c>
      <c r="E17" s="2"/>
    </row>
    <row r="18" customFormat="false" ht="15" hidden="false" customHeight="false" outlineLevel="0" collapsed="false">
      <c r="A18" s="1" t="s">
        <v>28</v>
      </c>
      <c r="B18" s="2" t="n">
        <f aca="false">COUNTIF(B15:E15,2)</f>
        <v>0</v>
      </c>
      <c r="E18" s="2"/>
    </row>
    <row r="19" customFormat="false" ht="15" hidden="false" customHeight="false" outlineLevel="0" collapsed="false">
      <c r="A19" s="1" t="s">
        <v>29</v>
      </c>
      <c r="B19" s="2" t="n">
        <f aca="false">COUNTIF(B15:E15,3)</f>
        <v>0</v>
      </c>
      <c r="E19" s="2"/>
    </row>
    <row r="20" customFormat="false" ht="15" hidden="false" customHeight="false" outlineLevel="0" collapsed="false">
      <c r="A20" s="1" t="s">
        <v>30</v>
      </c>
      <c r="B20" s="2" t="n">
        <f aca="false">COUNTIF(B15:E15,4)</f>
        <v>0</v>
      </c>
      <c r="E20" s="2"/>
    </row>
    <row r="22" customFormat="false" ht="15" hidden="false" customHeight="false" outlineLevel="0" collapsed="false">
      <c r="A22" s="42" t="s">
        <v>31</v>
      </c>
      <c r="B22" s="43"/>
      <c r="C22" s="43"/>
      <c r="D22" s="43"/>
      <c r="E22" s="43"/>
      <c r="F22" s="2"/>
      <c r="G22" s="2"/>
      <c r="H22" s="2"/>
      <c r="I22" s="2"/>
      <c r="K22" s="2"/>
      <c r="L22" s="2"/>
      <c r="M22" s="2"/>
      <c r="N22" s="2"/>
    </row>
    <row r="23" customFormat="false" ht="15" hidden="false" customHeight="false" outlineLevel="0" collapsed="false">
      <c r="A23" s="1" t="s">
        <v>15</v>
      </c>
      <c r="B23" s="47" t="n">
        <f aca="false">SCORE_SHEET!L16</f>
        <v>0</v>
      </c>
      <c r="C23" s="48" t="n">
        <f aca="false">SCORE_SHEET!N16</f>
        <v>0</v>
      </c>
      <c r="D23" s="49" t="n">
        <f aca="false">SCORE_SHEET!P16</f>
        <v>0</v>
      </c>
      <c r="E23" s="50" t="n">
        <f aca="false">SCORE_SHEET!R16</f>
        <v>0</v>
      </c>
      <c r="F23" s="2"/>
      <c r="G23" s="2"/>
      <c r="H23" s="2"/>
      <c r="I23" s="2"/>
      <c r="K23" s="2"/>
      <c r="L23" s="2"/>
      <c r="M23" s="2"/>
      <c r="N23" s="2"/>
    </row>
    <row r="24" customFormat="false" ht="15" hidden="false" customHeight="false" outlineLevel="0" collapsed="false">
      <c r="A24" s="1" t="s">
        <v>25</v>
      </c>
      <c r="B24" s="47" t="n">
        <f aca="false">RANK(B23,B23:E23)</f>
        <v>1</v>
      </c>
      <c r="C24" s="48" t="n">
        <f aca="false">RANK(C23,B23:E23)</f>
        <v>1</v>
      </c>
      <c r="D24" s="49" t="n">
        <f aca="false">RANK(D23,B23:E23)</f>
        <v>1</v>
      </c>
      <c r="E24" s="50" t="n">
        <f aca="false">RANK(E23,B23:E23)</f>
        <v>1</v>
      </c>
      <c r="F24" s="51"/>
      <c r="G24" s="51"/>
      <c r="H24" s="51"/>
      <c r="I24" s="51"/>
      <c r="K24" s="51"/>
      <c r="L24" s="51"/>
      <c r="M24" s="51"/>
      <c r="N24" s="51"/>
    </row>
    <row r="25" customFormat="false" ht="15" hidden="false" customHeight="false" outlineLevel="0" collapsed="false">
      <c r="A25" s="1" t="s">
        <v>26</v>
      </c>
      <c r="B25" s="47" t="n">
        <f aca="false">INT(IF(B26&gt;2,IF(B24=1,36/B26,0),IF(B26=2,IF(B24=1,15,IF(B24=2,6,IF(B24=3,6/B28,0))),IF(B24=1,18,IF(B27&gt;1,IF(B24=2,18/B27,0),IF(B24=2,12,IF(B24=3,6/B28,0)))))))</f>
        <v>9</v>
      </c>
      <c r="C25" s="48" t="n">
        <f aca="false">INT(IF(B26&gt;2,IF(C24=1,36/B26,0),IF(B26=2,IF(C24=1,15,IF(C24=2,6,IF(C24=3,6/B28,0))),IF(C24=1,18,IF(B27&gt;1,IF(C24=2,18/B27,0),IF(C24=2,12,IF(C24=3,6/B28,0)))))))</f>
        <v>9</v>
      </c>
      <c r="D25" s="49" t="n">
        <f aca="false">INT(IF(B26&gt;2,IF(D24=1,36/B26,0),IF(B26=2,IF(D24=1,15,IF(D24=2,6,IF(D24=3,6/B28,0))),IF(D24=1,18,IF(B27&gt;1,IF(D24=2,18/B27,0),IF(D24=2,12,IF(D24=3,6/B28,0)))))))</f>
        <v>9</v>
      </c>
      <c r="E25" s="50" t="n">
        <f aca="false">INT(IF(B26&gt;2,IF(E24=1,36/B26,0),IF(B26=2,IF(E24=1,15,IF(E24=2,6,IF(E24=3,6/B28,0))),IF(E24=1,18,IF(B27&gt;1,IF(E24=2,18/B27,0),IF(E24=2,12,IF(E24=3,6/B28,0)))))))</f>
        <v>9</v>
      </c>
      <c r="F25" s="51"/>
      <c r="G25" s="51"/>
      <c r="H25" s="51"/>
      <c r="I25" s="51"/>
      <c r="K25" s="51"/>
      <c r="L25" s="51"/>
      <c r="M25" s="51"/>
      <c r="N25" s="51"/>
    </row>
    <row r="26" customFormat="false" ht="15" hidden="false" customHeight="false" outlineLevel="0" collapsed="false">
      <c r="A26" s="1" t="s">
        <v>27</v>
      </c>
      <c r="B26" s="2" t="n">
        <f aca="false">COUNTIF(B24:E24,1)</f>
        <v>4</v>
      </c>
      <c r="E26" s="2"/>
      <c r="F26" s="51"/>
      <c r="G26" s="51"/>
      <c r="H26" s="51"/>
      <c r="I26" s="51"/>
      <c r="K26" s="51"/>
      <c r="L26" s="51"/>
      <c r="M26" s="51"/>
      <c r="N26" s="51"/>
    </row>
    <row r="27" customFormat="false" ht="15" hidden="false" customHeight="false" outlineLevel="0" collapsed="false">
      <c r="A27" s="1" t="s">
        <v>28</v>
      </c>
      <c r="B27" s="2" t="n">
        <f aca="false">COUNTIF(B24:E24,2)</f>
        <v>0</v>
      </c>
      <c r="E27" s="2"/>
      <c r="F27" s="51"/>
      <c r="G27" s="51"/>
      <c r="H27" s="51"/>
      <c r="I27" s="51"/>
      <c r="K27" s="51"/>
      <c r="L27" s="51"/>
      <c r="M27" s="51"/>
      <c r="N27" s="51"/>
    </row>
    <row r="28" customFormat="false" ht="15" hidden="false" customHeight="false" outlineLevel="0" collapsed="false">
      <c r="A28" s="1" t="s">
        <v>29</v>
      </c>
      <c r="B28" s="2" t="n">
        <f aca="false">COUNTIF(B24:E24,3)</f>
        <v>0</v>
      </c>
      <c r="E28" s="2"/>
    </row>
    <row r="29" customFormat="false" ht="15" hidden="false" customHeight="false" outlineLevel="0" collapsed="false">
      <c r="A29" s="1" t="s">
        <v>30</v>
      </c>
      <c r="B29" s="2" t="n">
        <f aca="false">COUNTIF(B24:E24,4)</f>
        <v>0</v>
      </c>
      <c r="E29" s="2"/>
    </row>
  </sheetData>
  <sheetProtection sheet="true" objects="true" scenarios="true"/>
  <printOptions headings="false" gridLines="false" gridLinesSet="true" horizontalCentered="true" verticalCentered="false"/>
  <pageMargins left="0.5" right="0.5" top="1.23888888888889" bottom="1.2375" header="1" footer="1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1583</TotalTime>
  <Application>LibreOffice/5.2.7.2$Windows_X86_64 LibreOffice_project/2b7f1e640c46ceb28adf43ee075a6e8b8439ed10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2017-05-12T01:35:04Z</dcterms:created>
  <dc:creator/>
  <dc:description/>
  <dc:language>en-US</dc:language>
  <cp:lastModifiedBy/>
  <dcterms:modified xsi:type="dcterms:W3CDTF">2018-03-09T02:17:48Z</dcterms:modified>
  <cp:revision>98</cp:revision>
  <dc:subject/>
  <dc:title/>
</cp:coreProperties>
</file>